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E9921F441CB83D5D/Documents/"/>
    </mc:Choice>
  </mc:AlternateContent>
  <xr:revisionPtr revIDLastSave="49" documentId="8_{A52AE298-ED66-4D5B-A91F-3817ED20877A}" xr6:coauthVersionLast="47" xr6:coauthVersionMax="47" xr10:uidLastSave="{E04E8E69-D96D-4B9D-8E88-62493FED3D22}"/>
  <bookViews>
    <workbookView xWindow="2240" yWindow="2240" windowWidth="14400" windowHeight="7270" xr2:uid="{C7DBBA4C-86B3-41D4-B1CE-B21F2CF552F6}"/>
  </bookViews>
  <sheets>
    <sheet name="Dashboard" sheetId="3" r:id="rId1"/>
    <sheet name="Pivot_Engine" sheetId="2" r:id="rId2"/>
    <sheet name="Sheet1" sheetId="1" r:id="rId3"/>
    <sheet name="Product_Catalog" sheetId="4" r:id="rId4"/>
  </sheets>
  <definedNames>
    <definedName name="Slicer_Product_ID">#N/A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 i="1" l="1"/>
  <c r="E2" i="1"/>
  <c r="E3" i="1"/>
  <c r="F3" i="1" s="1"/>
  <c r="G3" i="1" s="1"/>
  <c r="H3" i="1" s="1"/>
  <c r="E4" i="1"/>
  <c r="F4" i="1" s="1"/>
  <c r="G4" i="1" s="1"/>
  <c r="H4" i="1" s="1"/>
  <c r="E5" i="1"/>
  <c r="F5" i="1" s="1"/>
  <c r="G5" i="1" s="1"/>
  <c r="H5" i="1" s="1"/>
  <c r="E6" i="1"/>
  <c r="F6" i="1" s="1"/>
  <c r="G6" i="1" s="1"/>
  <c r="H6" i="1" s="1"/>
  <c r="E7" i="1"/>
  <c r="F7" i="1" s="1"/>
  <c r="G7" i="1" s="1"/>
  <c r="H7" i="1" s="1"/>
  <c r="E8" i="1"/>
  <c r="F8" i="1" s="1"/>
  <c r="G8" i="1" s="1"/>
  <c r="H8" i="1" s="1"/>
  <c r="E9" i="1"/>
  <c r="F9" i="1" s="1"/>
  <c r="G9" i="1" s="1"/>
  <c r="H9" i="1" s="1"/>
  <c r="E10" i="1"/>
  <c r="F10" i="1" s="1"/>
  <c r="G10" i="1" s="1"/>
  <c r="H10" i="1" s="1"/>
  <c r="E11" i="1"/>
  <c r="F11" i="1" s="1"/>
  <c r="G11" i="1" s="1"/>
  <c r="H11" i="1" s="1"/>
  <c r="E12" i="1"/>
  <c r="F12" i="1" s="1"/>
  <c r="G12" i="1" s="1"/>
  <c r="H12" i="1" s="1"/>
  <c r="E13" i="1"/>
  <c r="F13" i="1" s="1"/>
  <c r="G13" i="1" s="1"/>
  <c r="H13" i="1" s="1"/>
  <c r="E14" i="1"/>
  <c r="F14" i="1" s="1"/>
  <c r="G14" i="1" s="1"/>
  <c r="H14" i="1" s="1"/>
  <c r="E15" i="1"/>
  <c r="F15" i="1" s="1"/>
  <c r="G15" i="1" s="1"/>
  <c r="H15" i="1" s="1"/>
  <c r="F2" i="1"/>
  <c r="G2" i="1" s="1"/>
  <c r="B15" i="1"/>
  <c r="B14" i="1"/>
  <c r="B13" i="1"/>
  <c r="B12" i="1"/>
  <c r="B11" i="1"/>
  <c r="B10" i="1"/>
  <c r="B9" i="1"/>
  <c r="B8" i="1"/>
  <c r="B7" i="1"/>
  <c r="B2" i="1"/>
  <c r="B3" i="1"/>
  <c r="B4" i="1"/>
  <c r="B5" i="1"/>
  <c r="B6" i="1"/>
</calcChain>
</file>

<file path=xl/sharedStrings.xml><?xml version="1.0" encoding="utf-8"?>
<sst xmlns="http://schemas.openxmlformats.org/spreadsheetml/2006/main" count="39" uniqueCount="19">
  <si>
    <t>Product_ID</t>
  </si>
  <si>
    <t>Units_Sold</t>
  </si>
  <si>
    <t>Gross_Revenue</t>
  </si>
  <si>
    <t>Unit_Cost</t>
  </si>
  <si>
    <t>Total_Cost</t>
  </si>
  <si>
    <t>Net_Profit</t>
  </si>
  <si>
    <t>P001</t>
  </si>
  <si>
    <t>P002</t>
  </si>
  <si>
    <t>P003</t>
  </si>
  <si>
    <t>Row Labels</t>
  </si>
  <si>
    <t>Grand Total</t>
  </si>
  <si>
    <t>Sum of Gross_Revenue</t>
  </si>
  <si>
    <t>Sum of Net_Profit</t>
  </si>
  <si>
    <t>Product_Name</t>
  </si>
  <si>
    <t>TechWidget A</t>
  </si>
  <si>
    <t>EcoGadget B</t>
  </si>
  <si>
    <t>SmartDevice C</t>
  </si>
  <si>
    <t>Margin_%</t>
  </si>
  <si>
    <t>GLOBALCORP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</si>
</sst>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 x14ac:knownFonts="1">
    <font>
      <sz val="11"/>
      <color theme="1"/>
      <name val="Aptos Narrow"/>
      <family val="2"/>
      <scheme val="minor"/>
    </font>
    <font>
      <sz val="11"/>
      <color theme="1"/>
      <name val="Aptos Narrow"/>
      <family val="2"/>
      <scheme val="minor"/>
    </font>
    <font>
      <sz val="11"/>
      <color rgb="FF1F1F1F"/>
      <name val="Arial"/>
      <family val="2"/>
    </font>
    <font>
      <b/>
      <sz val="11"/>
      <color rgb="FF1F1F1F"/>
      <name val="Arial"/>
      <family val="2"/>
    </font>
    <font>
      <b/>
      <sz val="16"/>
      <color theme="0"/>
      <name val="Aptos Narrow"/>
      <family val="2"/>
      <scheme val="minor"/>
    </font>
    <font>
      <sz val="11"/>
      <color rgb="FF1F1F1F"/>
      <name val="Aptos"/>
      <family val="2"/>
    </font>
  </fonts>
  <fills count="4">
    <fill>
      <patternFill patternType="none"/>
    </fill>
    <fill>
      <patternFill patternType="gray125"/>
    </fill>
    <fill>
      <patternFill patternType="solid">
        <fgColor theme="3"/>
        <bgColor indexed="64"/>
      </patternFill>
    </fill>
    <fill>
      <patternFill patternType="solid">
        <fgColor theme="2" tint="-0.249977111117893"/>
        <bgColor indexed="64"/>
      </patternFill>
    </fill>
  </fills>
  <borders count="9">
    <border>
      <left/>
      <right/>
      <top/>
      <bottom/>
      <diagonal/>
    </border>
    <border>
      <left style="medium">
        <color rgb="FFC4C7C5"/>
      </left>
      <right style="medium">
        <color rgb="FFC4C7C5"/>
      </right>
      <top style="medium">
        <color rgb="FFC4C7C5"/>
      </top>
      <bottom style="medium">
        <color rgb="FFC4C7C5"/>
      </bottom>
      <diagonal/>
    </border>
    <border>
      <left/>
      <right style="medium">
        <color rgb="FFC4C7C5"/>
      </right>
      <top style="medium">
        <color rgb="FFC4C7C5"/>
      </top>
      <bottom style="medium">
        <color rgb="FFC4C7C5"/>
      </bottom>
      <diagonal/>
    </border>
    <border>
      <left style="medium">
        <color rgb="FFC4C7C5"/>
      </left>
      <right/>
      <top style="medium">
        <color rgb="FFC4C7C5"/>
      </top>
      <bottom style="medium">
        <color rgb="FFC4C7C5"/>
      </bottom>
      <diagonal/>
    </border>
    <border>
      <left/>
      <right style="medium">
        <color rgb="FFC4C7C5"/>
      </right>
      <top/>
      <bottom style="medium">
        <color rgb="FFC4C7C5"/>
      </bottom>
      <diagonal/>
    </border>
    <border>
      <left style="medium">
        <color rgb="FFC4C7C5"/>
      </left>
      <right/>
      <top/>
      <bottom style="medium">
        <color rgb="FFC4C7C5"/>
      </bottom>
      <diagonal/>
    </border>
    <border>
      <left/>
      <right style="medium">
        <color rgb="FFC4C7C5"/>
      </right>
      <top style="medium">
        <color rgb="FFC4C7C5"/>
      </top>
      <bottom/>
      <diagonal/>
    </border>
    <border>
      <left style="medium">
        <color rgb="FFC4C7C5"/>
      </left>
      <right/>
      <top style="medium">
        <color rgb="FFC4C7C5"/>
      </top>
      <bottom/>
      <diagonal/>
    </border>
    <border>
      <left style="medium">
        <color rgb="FFC4C7C5"/>
      </left>
      <right style="medium">
        <color rgb="FFC4C7C5"/>
      </right>
      <top/>
      <bottom style="medium">
        <color rgb="FFC4C7C5"/>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3" fillId="0" borderId="1" xfId="0" applyFont="1" applyBorder="1" applyAlignment="1">
      <alignment horizontal="left" vertical="center" wrapText="1" indent="1" readingOrder="1"/>
    </xf>
    <xf numFmtId="0" fontId="0" fillId="0" borderId="0" xfId="0" pivotButton="1"/>
    <xf numFmtId="0" fontId="0" fillId="0" borderId="0" xfId="0" applyAlignment="1">
      <alignment horizontal="left"/>
    </xf>
    <xf numFmtId="0" fontId="2" fillId="0" borderId="1" xfId="0" applyFont="1" applyBorder="1" applyAlignment="1">
      <alignment horizontal="left" vertical="center" wrapText="1" indent="1" readingOrder="1"/>
    </xf>
    <xf numFmtId="164" fontId="0" fillId="0" borderId="0" xfId="0" applyNumberFormat="1"/>
    <xf numFmtId="9" fontId="0" fillId="0" borderId="0" xfId="1" applyFont="1"/>
    <xf numFmtId="0" fontId="0" fillId="2" borderId="0" xfId="0" applyFill="1"/>
    <xf numFmtId="0" fontId="4" fillId="2" borderId="0" xfId="0" applyFont="1" applyFill="1"/>
    <xf numFmtId="0" fontId="0" fillId="3" borderId="0" xfId="0" applyFill="1"/>
    <xf numFmtId="0" fontId="5" fillId="0" borderId="2" xfId="0" applyFont="1" applyBorder="1" applyAlignment="1">
      <alignment horizontal="left" vertical="center" wrapText="1" indent="1" readingOrder="1"/>
    </xf>
    <xf numFmtId="0" fontId="5" fillId="0" borderId="3" xfId="0" applyFont="1" applyBorder="1" applyAlignment="1">
      <alignment horizontal="left" vertical="center" wrapText="1" indent="1" readingOrder="1"/>
    </xf>
    <xf numFmtId="0" fontId="5" fillId="0" borderId="1" xfId="0" applyFont="1" applyBorder="1" applyAlignment="1">
      <alignment horizontal="left" vertical="center" wrapText="1" indent="1" readingOrder="1"/>
    </xf>
    <xf numFmtId="0" fontId="5" fillId="0" borderId="6" xfId="0" applyFont="1" applyBorder="1" applyAlignment="1">
      <alignment horizontal="left" vertical="center" wrapText="1" indent="1" readingOrder="1"/>
    </xf>
    <xf numFmtId="0" fontId="5" fillId="0" borderId="7" xfId="0" applyFont="1" applyBorder="1" applyAlignment="1">
      <alignment horizontal="left" vertical="center" wrapText="1" indent="1" readingOrder="1"/>
    </xf>
    <xf numFmtId="0" fontId="5" fillId="0" borderId="4" xfId="0" applyFont="1" applyBorder="1" applyAlignment="1">
      <alignment horizontal="left" vertical="center" wrapText="1" indent="1" readingOrder="1"/>
    </xf>
    <xf numFmtId="0" fontId="5" fillId="0" borderId="5" xfId="0" applyFont="1" applyBorder="1" applyAlignment="1">
      <alignment horizontal="left" vertical="center" wrapText="1" indent="1" readingOrder="1"/>
    </xf>
    <xf numFmtId="0" fontId="5" fillId="0" borderId="8" xfId="0" applyFont="1" applyBorder="1" applyAlignment="1">
      <alignment horizontal="left" vertical="center" wrapText="1" indent="1" readingOrder="1"/>
    </xf>
  </cellXfs>
  <cellStyles count="2">
    <cellStyle name="Normal" xfId="0" builtinId="0"/>
    <cellStyle name="Percent" xfId="1" builtinId="5"/>
  </cellStyles>
  <dxfs count="13">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strike val="0"/>
        <outline val="0"/>
        <shadow val="0"/>
        <u val="none"/>
        <vertAlign val="baseline"/>
        <sz val="11"/>
        <color rgb="FF1F1F1F"/>
        <name val="Aptos"/>
        <family val="2"/>
        <scheme val="none"/>
      </font>
    </dxf>
    <dxf>
      <font>
        <b val="0"/>
        <i val="0"/>
        <strike val="0"/>
        <condense val="0"/>
        <extend val="0"/>
        <outline val="0"/>
        <shadow val="0"/>
        <u val="none"/>
        <vertAlign val="baseline"/>
        <sz val="11"/>
        <color rgb="FF1F1F1F"/>
        <name val="Aptos"/>
        <family val="2"/>
        <scheme val="none"/>
      </font>
      <alignment horizontal="left" vertical="center" textRotation="0" wrapText="1" indent="1" justifyLastLine="0" shrinkToFit="0" readingOrder="1"/>
      <border diagonalUp="0" diagonalDown="0" outline="0">
        <left style="medium">
          <color rgb="FFC4C7C5"/>
        </left>
        <right/>
        <top style="medium">
          <color rgb="FFC4C7C5"/>
        </top>
        <bottom style="medium">
          <color rgb="FFC4C7C5"/>
        </bottom>
      </border>
    </dxf>
    <dxf>
      <font>
        <b val="0"/>
        <i val="0"/>
        <strike val="0"/>
        <condense val="0"/>
        <extend val="0"/>
        <outline val="0"/>
        <shadow val="0"/>
        <u val="none"/>
        <vertAlign val="baseline"/>
        <sz val="11"/>
        <color rgb="FF1F1F1F"/>
        <name val="Aptos"/>
        <family val="2"/>
        <scheme val="none"/>
      </font>
      <alignment horizontal="left" vertical="center" textRotation="0" wrapText="1" indent="1" justifyLastLine="0" shrinkToFit="0" readingOrder="1"/>
      <border diagonalUp="0" diagonalDown="0" outline="0">
        <left/>
        <right style="medium">
          <color rgb="FFC4C7C5"/>
        </right>
        <top style="medium">
          <color rgb="FFC4C7C5"/>
        </top>
        <bottom style="medium">
          <color rgb="FFC4C7C5"/>
        </bottom>
      </border>
    </dxf>
    <dxf>
      <border outline="0">
        <top style="medium">
          <color rgb="FFC4C7C5"/>
        </top>
      </border>
    </dxf>
    <dxf>
      <border outline="0">
        <left style="medium">
          <color rgb="FFC4C7C5"/>
        </left>
        <right style="medium">
          <color rgb="FFC4C7C5"/>
        </right>
        <top style="medium">
          <color rgb="FFC4C7C5"/>
        </top>
        <bottom style="medium">
          <color rgb="FFC4C7C5"/>
        </bottom>
      </border>
    </dxf>
    <dxf>
      <font>
        <strike val="0"/>
        <outline val="0"/>
        <shadow val="0"/>
        <u val="none"/>
        <vertAlign val="baseline"/>
        <sz val="11"/>
        <color rgb="FF1F1F1F"/>
        <name val="Aptos"/>
        <family val="2"/>
        <scheme val="none"/>
      </font>
    </dxf>
    <dxf>
      <border outline="0">
        <bottom style="medium">
          <color rgb="FFC4C7C5"/>
        </bottom>
      </border>
    </dxf>
    <dxf>
      <font>
        <b val="0"/>
        <i val="0"/>
        <strike val="0"/>
        <condense val="0"/>
        <extend val="0"/>
        <outline val="0"/>
        <shadow val="0"/>
        <u val="none"/>
        <vertAlign val="baseline"/>
        <sz val="11"/>
        <color rgb="FF1F1F1F"/>
        <name val="Aptos"/>
        <family val="2"/>
        <scheme val="none"/>
      </font>
      <alignment horizontal="left" vertical="center" textRotation="0" wrapText="1" indent="1" justifyLastLine="0" shrinkToFit="0" readingOrder="1"/>
      <border diagonalUp="0" diagonalDown="0" outline="0">
        <left style="medium">
          <color rgb="FFC4C7C5"/>
        </left>
        <right style="medium">
          <color rgb="FFC4C7C5"/>
        </right>
        <top/>
        <bottom/>
      </border>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[GlobalCorp_Performance_Dashboard.xlsx]Pivot_Engine!PivotTable1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Pivot_Engine!$B$3</c:f>
              <c:strCache>
                <c:ptCount val="1"/>
                <c:pt idx="0">
                  <c:v>Sum of Gross_Revenue</c:v>
                </c:pt>
              </c:strCache>
            </c:strRef>
          </c:tx>
          <c:spPr>
            <a:solidFill>
              <a:schemeClr val="accent1"/>
            </a:solidFill>
            <a:ln>
              <a:noFill/>
            </a:ln>
            <a:effectLst/>
          </c:spPr>
          <c:invertIfNegative val="0"/>
          <c:cat>
            <c:strRef>
              <c:f>Pivot_Engine!$A$4:$A$7</c:f>
              <c:strCache>
                <c:ptCount val="3"/>
                <c:pt idx="0">
                  <c:v>EcoGadget B</c:v>
                </c:pt>
                <c:pt idx="1">
                  <c:v>SmartDevice C</c:v>
                </c:pt>
                <c:pt idx="2">
                  <c:v>TechWidget A</c:v>
                </c:pt>
              </c:strCache>
            </c:strRef>
          </c:cat>
          <c:val>
            <c:numRef>
              <c:f>Pivot_Engine!$B$4:$B$7</c:f>
              <c:numCache>
                <c:formatCode>"₦"#,##0</c:formatCode>
                <c:ptCount val="3"/>
                <c:pt idx="0">
                  <c:v>6800</c:v>
                </c:pt>
                <c:pt idx="1">
                  <c:v>4200</c:v>
                </c:pt>
                <c:pt idx="2">
                  <c:v>13000</c:v>
                </c:pt>
              </c:numCache>
            </c:numRef>
          </c:val>
          <c:extLst>
            <c:ext xmlns:c16="http://schemas.microsoft.com/office/drawing/2014/chart" uri="{C3380CC4-5D6E-409C-BE32-E72D297353CC}">
              <c16:uniqueId val="{00000000-23FA-458F-B50B-B9D48816235B}"/>
            </c:ext>
          </c:extLst>
        </c:ser>
        <c:ser>
          <c:idx val="1"/>
          <c:order val="1"/>
          <c:tx>
            <c:strRef>
              <c:f>Pivot_Engine!$C$3</c:f>
              <c:strCache>
                <c:ptCount val="1"/>
                <c:pt idx="0">
                  <c:v>Sum of Net_Profit</c:v>
                </c:pt>
              </c:strCache>
            </c:strRef>
          </c:tx>
          <c:spPr>
            <a:solidFill>
              <a:schemeClr val="accent2"/>
            </a:solidFill>
            <a:ln>
              <a:noFill/>
            </a:ln>
            <a:effectLst/>
          </c:spPr>
          <c:invertIfNegative val="0"/>
          <c:cat>
            <c:strRef>
              <c:f>Pivot_Engine!$A$4:$A$7</c:f>
              <c:strCache>
                <c:ptCount val="3"/>
                <c:pt idx="0">
                  <c:v>EcoGadget B</c:v>
                </c:pt>
                <c:pt idx="1">
                  <c:v>SmartDevice C</c:v>
                </c:pt>
                <c:pt idx="2">
                  <c:v>TechWidget A</c:v>
                </c:pt>
              </c:strCache>
            </c:strRef>
          </c:cat>
          <c:val>
            <c:numRef>
              <c:f>Pivot_Engine!$C$4:$C$7</c:f>
              <c:numCache>
                <c:formatCode>"₦"#,##0</c:formatCode>
                <c:ptCount val="3"/>
                <c:pt idx="0">
                  <c:v>6400</c:v>
                </c:pt>
                <c:pt idx="1">
                  <c:v>3980</c:v>
                </c:pt>
                <c:pt idx="2">
                  <c:v>11650</c:v>
                </c:pt>
              </c:numCache>
            </c:numRef>
          </c:val>
          <c:extLst>
            <c:ext xmlns:c16="http://schemas.microsoft.com/office/drawing/2014/chart" uri="{C3380CC4-5D6E-409C-BE32-E72D297353CC}">
              <c16:uniqueId val="{00000001-23FA-458F-B50B-B9D48816235B}"/>
            </c:ext>
          </c:extLst>
        </c:ser>
        <c:dLbls>
          <c:showLegendKey val="0"/>
          <c:showVal val="0"/>
          <c:showCatName val="0"/>
          <c:showSerName val="0"/>
          <c:showPercent val="0"/>
          <c:showBubbleSize val="0"/>
        </c:dLbls>
        <c:gapWidth val="219"/>
        <c:overlap val="-27"/>
        <c:axId val="503867816"/>
        <c:axId val="503869576"/>
      </c:barChart>
      <c:catAx>
        <c:axId val="503867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03869576"/>
        <c:crosses val="autoZero"/>
        <c:auto val="1"/>
        <c:lblAlgn val="ctr"/>
        <c:lblOffset val="100"/>
        <c:noMultiLvlLbl val="0"/>
      </c:catAx>
      <c:valAx>
        <c:axId val="503869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03867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34599</xdr:colOff>
      <xdr:row>3</xdr:row>
      <xdr:rowOff>152643</xdr:rowOff>
    </xdr:from>
    <xdr:to>
      <xdr:col>13</xdr:col>
      <xdr:colOff>206640</xdr:colOff>
      <xdr:row>18</xdr:row>
      <xdr:rowOff>23132</xdr:rowOff>
    </xdr:to>
    <xdr:graphicFrame macro="">
      <xdr:nvGraphicFramePr>
        <xdr:cNvPr id="2" name="Chart 1">
          <a:extLst>
            <a:ext uri="{FF2B5EF4-FFF2-40B4-BE49-F238E27FC236}">
              <a16:creationId xmlns:a16="http://schemas.microsoft.com/office/drawing/2014/main" id="{BEFE127F-BB77-4EB9-B268-36355BBAC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410390</xdr:colOff>
      <xdr:row>4</xdr:row>
      <xdr:rowOff>31433</xdr:rowOff>
    </xdr:from>
    <xdr:to>
      <xdr:col>16</xdr:col>
      <xdr:colOff>396649</xdr:colOff>
      <xdr:row>18</xdr:row>
      <xdr:rowOff>27527</xdr:rowOff>
    </xdr:to>
    <mc:AlternateContent xmlns:mc="http://schemas.openxmlformats.org/markup-compatibility/2006" xmlns:a14="http://schemas.microsoft.com/office/drawing/2010/main">
      <mc:Choice Requires="a14">
        <xdr:graphicFrame macro="">
          <xdr:nvGraphicFramePr>
            <xdr:cNvPr id="3" name="Product_ID">
              <a:extLst>
                <a:ext uri="{FF2B5EF4-FFF2-40B4-BE49-F238E27FC236}">
                  <a16:creationId xmlns:a16="http://schemas.microsoft.com/office/drawing/2014/main" id="{6991800A-543C-DFF2-FE34-31C97D27B92D}"/>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8326143" y="849104"/>
              <a:ext cx="1812972" cy="255349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LIGHT" refreshedDate="46190.049923148152" createdVersion="8" refreshedVersion="8" minRefreshableVersion="3" recordCount="14" xr:uid="{55E06964-47F4-427C-AD16-A4C102B1B222}">
  <cacheSource type="worksheet">
    <worksheetSource name="SalesData"/>
  </cacheSource>
  <cacheFields count="8">
    <cacheField name="Product_ID" numFmtId="0">
      <sharedItems count="3">
        <s v="P001"/>
        <s v="P002"/>
        <s v="P003"/>
      </sharedItems>
    </cacheField>
    <cacheField name="Product_Name" numFmtId="0">
      <sharedItems count="3">
        <s v="TechWidget A"/>
        <s v="EcoGadget B"/>
        <s v="SmartDevice C"/>
      </sharedItems>
    </cacheField>
    <cacheField name="Units_Sold" numFmtId="0">
      <sharedItems containsSemiMixedTypes="0" containsString="0" containsNumber="1" containsInteger="1" minValue="2" maxValue="20"/>
    </cacheField>
    <cacheField name="Gross_Revenue" numFmtId="0">
      <sharedItems containsSemiMixedTypes="0" containsString="0" containsNumber="1" containsInteger="1" minValue="300" maxValue="4000"/>
    </cacheField>
    <cacheField name="Unit_Cost" numFmtId="0">
      <sharedItems containsString="0" containsBlank="1" containsNumber="1" containsInteger="1" minValue="20" maxValue="110"/>
    </cacheField>
    <cacheField name="Total_Cost" numFmtId="0">
      <sharedItems containsSemiMixedTypes="0" containsString="0" containsNumber="1" containsInteger="1" minValue="0" maxValue="900"/>
    </cacheField>
    <cacheField name="Net_Profit" numFmtId="0">
      <sharedItems containsSemiMixedTypes="0" containsString="0" containsNumber="1" containsInteger="1" minValue="80" maxValue="4000"/>
    </cacheField>
    <cacheField name="Margin_%" numFmtId="9">
      <sharedItems containsSemiMixedTypes="0" containsString="0" containsNumber="1" minValue="0.26666666666666666" maxValue="1"/>
    </cacheField>
  </cacheFields>
  <extLst>
    <ext xmlns:x14="http://schemas.microsoft.com/office/spreadsheetml/2009/9/main" uri="{725AE2AE-9491-48be-B2B4-4EB974FC3084}">
      <x14:pivotCacheDefinition pivotCacheId="1679840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n v="10"/>
    <n v="1000"/>
    <n v="45"/>
    <n v="450"/>
    <n v="550"/>
    <n v="0.55000000000000004"/>
  </r>
  <r>
    <x v="1"/>
    <x v="1"/>
    <n v="5"/>
    <n v="500"/>
    <n v="20"/>
    <n v="100"/>
    <n v="400"/>
    <n v="0.8"/>
  </r>
  <r>
    <x v="0"/>
    <x v="0"/>
    <n v="20"/>
    <n v="2000"/>
    <n v="45"/>
    <n v="900"/>
    <n v="1100"/>
    <n v="0.55000000000000004"/>
  </r>
  <r>
    <x v="2"/>
    <x v="2"/>
    <n v="2"/>
    <n v="300"/>
    <n v="110"/>
    <n v="220"/>
    <n v="80"/>
    <n v="0.26666666666666666"/>
  </r>
  <r>
    <x v="1"/>
    <x v="1"/>
    <n v="15"/>
    <n v="1500"/>
    <n v="20"/>
    <n v="300"/>
    <n v="1200"/>
    <n v="0.8"/>
  </r>
  <r>
    <x v="2"/>
    <x v="2"/>
    <n v="4"/>
    <n v="1200"/>
    <m/>
    <n v="0"/>
    <n v="1200"/>
    <n v="1"/>
  </r>
  <r>
    <x v="0"/>
    <x v="0"/>
    <n v="5"/>
    <n v="2500"/>
    <m/>
    <n v="0"/>
    <n v="2500"/>
    <n v="1"/>
  </r>
  <r>
    <x v="1"/>
    <x v="1"/>
    <n v="2"/>
    <n v="800"/>
    <m/>
    <n v="0"/>
    <n v="800"/>
    <n v="1"/>
  </r>
  <r>
    <x v="0"/>
    <x v="0"/>
    <n v="7"/>
    <n v="3500"/>
    <m/>
    <n v="0"/>
    <n v="3500"/>
    <n v="1"/>
  </r>
  <r>
    <x v="2"/>
    <x v="2"/>
    <n v="6"/>
    <n v="1800"/>
    <m/>
    <n v="0"/>
    <n v="1800"/>
    <n v="1"/>
  </r>
  <r>
    <x v="1"/>
    <x v="1"/>
    <n v="4"/>
    <n v="1600"/>
    <m/>
    <n v="0"/>
    <n v="1600"/>
    <n v="1"/>
  </r>
  <r>
    <x v="0"/>
    <x v="0"/>
    <n v="8"/>
    <n v="4000"/>
    <m/>
    <n v="0"/>
    <n v="4000"/>
    <n v="1"/>
  </r>
  <r>
    <x v="2"/>
    <x v="2"/>
    <n v="3"/>
    <n v="900"/>
    <m/>
    <n v="0"/>
    <n v="900"/>
    <n v="1"/>
  </r>
  <r>
    <x v="1"/>
    <x v="1"/>
    <n v="6"/>
    <n v="2400"/>
    <m/>
    <n v="0"/>
    <n v="240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54ECDB-391D-43AB-B037-BA2B804CAB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7" firstHeaderRow="0" firstDataRow="1" firstDataCol="1"/>
  <pivotFields count="8">
    <pivotField showAll="0">
      <items count="4">
        <item x="0"/>
        <item x="1"/>
        <item x="2"/>
        <item t="default"/>
      </items>
    </pivotField>
    <pivotField axis="axisRow" showAll="0" sortType="ascending">
      <items count="4">
        <item x="1"/>
        <item x="2"/>
        <item x="0"/>
        <item t="default"/>
      </items>
    </pivotField>
    <pivotField showAll="0"/>
    <pivotField dataField="1" showAll="0"/>
    <pivotField showAll="0"/>
    <pivotField showAll="0"/>
    <pivotField dataField="1" showAll="0"/>
    <pivotField numFmtId="9" showAll="0"/>
  </pivotFields>
  <rowFields count="1">
    <field x="1"/>
  </rowFields>
  <rowItems count="4">
    <i>
      <x/>
    </i>
    <i>
      <x v="1"/>
    </i>
    <i>
      <x v="2"/>
    </i>
    <i t="grand">
      <x/>
    </i>
  </rowItems>
  <colFields count="1">
    <field x="-2"/>
  </colFields>
  <colItems count="2">
    <i>
      <x/>
    </i>
    <i i="1">
      <x v="1"/>
    </i>
  </colItems>
  <dataFields count="2">
    <dataField name="Sum of Gross_Revenue" fld="3" baseField="0" baseItem="0" numFmtId="164"/>
    <dataField name="Sum of Net_Profit" fld="6" baseField="0" baseItem="0" numFmtId="16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E3AEECA4-3D70-4244-8212-F02FF955E8F4}" sourceName="Product_ID">
  <pivotTables>
    <pivotTable tabId="2" name="PivotTable1"/>
  </pivotTables>
  <data>
    <tabular pivotCacheId="167984077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xr10:uid="{6A89B2EA-F6D0-4DB3-ACAE-4AE126E29809}" cache="Slicer_Product_ID" caption="Product_ID"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1A0683-F00B-4B55-8834-4F22DDA16895}" name="SalesData" displayName="SalesData" ref="A1:H15" totalsRowShown="0">
  <autoFilter ref="A1:H15" xr:uid="{081A0683-F00B-4B55-8834-4F22DDA16895}"/>
  <tableColumns count="8">
    <tableColumn id="1" xr3:uid="{95A3FCF2-0789-4DD9-BE14-388AB2C4FBF1}" name="Product_ID"/>
    <tableColumn id="7" xr3:uid="{4DBDC189-3586-42C8-8811-A2B4F051C14D}" name="Product_Name" dataDxfId="12">
      <calculatedColumnFormula>_xlfn.XLOOKUP(A2, CatalogTable[Product_ID], CatalogTable[Product_Name], "Unknown Product")</calculatedColumnFormula>
    </tableColumn>
    <tableColumn id="2" xr3:uid="{3DDDB39F-62C4-43CD-A699-9931C204F20B}" name="Units_Sold"/>
    <tableColumn id="3" xr3:uid="{C780A067-CBFC-45CA-97E8-46F4B45F4734}" name="Gross_Revenue"/>
    <tableColumn id="4" xr3:uid="{744B7D3B-02E9-4963-AF04-CEA401827CED}" name="Unit_Cost" dataDxfId="11">
      <calculatedColumnFormula>_xlfn.XLOOKUP(A2, CatalogTable[Product_ID], CatalogTable[Unit_Cost], 0)</calculatedColumnFormula>
    </tableColumn>
    <tableColumn id="5" xr3:uid="{8D439A44-656A-4DFE-A257-A2DF90CE3BE3}" name="Total_Cost">
      <calculatedColumnFormula>C2*E2</calculatedColumnFormula>
    </tableColumn>
    <tableColumn id="6" xr3:uid="{525D903B-DF06-44C4-A8ED-5D73966B0574}" name="Net_Profit">
      <calculatedColumnFormula>D2-F2</calculatedColumnFormula>
    </tableColumn>
    <tableColumn id="8" xr3:uid="{99AA026D-B6A9-4FE4-85CB-8E07F2DA8A2F}" name="Margin_%" dataCellStyle="Percent">
      <calculatedColumnFormula>SalesData[[#This Row],[Net_Profit]]/SalesData[[#This Row],[Gross_Revenue]]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29A674-A22B-45AB-9CF2-2D33576DC6E0}" name="CatalogTable" displayName="CatalogTable" ref="A1:C4" totalsRowShown="0" headerRowDxfId="10" dataDxfId="8" headerRowBorderDxfId="9" tableBorderDxfId="7" totalsRowBorderDxfId="6">
  <autoFilter ref="A1:C4" xr:uid="{6629A674-A22B-45AB-9CF2-2D33576DC6E0}"/>
  <tableColumns count="3">
    <tableColumn id="1" xr3:uid="{713545B0-74BE-4222-95C7-96C8C084B31D}" name="Product_ID" dataDxfId="5"/>
    <tableColumn id="2" xr3:uid="{5AAC3A6E-BC2F-4A45-9E54-27D7BD711E26}" name="Product_Name" dataDxfId="4"/>
    <tableColumn id="3" xr3:uid="{F2711B83-39F5-473F-901A-9150616B111D}" name="Unit_Cost"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46566-AC5A-4E9B-B139-9BC7BD97A660}">
  <dimension ref="B1:B30"/>
  <sheetViews>
    <sheetView tabSelected="1" topLeftCell="A3" zoomScale="73" zoomScaleNormal="136" zoomScalePageLayoutView="52" workbookViewId="0">
      <selection activeCell="E20" sqref="E20"/>
    </sheetView>
  </sheetViews>
  <sheetFormatPr defaultRowHeight="14.5" x14ac:dyDescent="0.35"/>
  <sheetData>
    <row r="1" spans="2:2" s="7" customFormat="1" x14ac:dyDescent="0.35"/>
    <row r="2" spans="2:2" s="7" customFormat="1" ht="21" x14ac:dyDescent="0.5">
      <c r="B2" s="8" t="s">
        <v>18</v>
      </c>
    </row>
    <row r="3" spans="2:2" s="7" customFormat="1" x14ac:dyDescent="0.35"/>
    <row r="4" spans="2:2" s="9" customFormat="1" x14ac:dyDescent="0.35"/>
    <row r="5" spans="2:2" s="9" customFormat="1" x14ac:dyDescent="0.35"/>
    <row r="6" spans="2:2" s="9" customFormat="1" x14ac:dyDescent="0.35"/>
    <row r="7" spans="2:2" s="9" customFormat="1" x14ac:dyDescent="0.35"/>
    <row r="8" spans="2:2" s="9" customFormat="1" x14ac:dyDescent="0.35"/>
    <row r="9" spans="2:2" s="9" customFormat="1" x14ac:dyDescent="0.35"/>
    <row r="10" spans="2:2" s="9" customFormat="1" x14ac:dyDescent="0.35"/>
    <row r="11" spans="2:2" s="9" customFormat="1" x14ac:dyDescent="0.35"/>
    <row r="12" spans="2:2" s="9" customFormat="1" x14ac:dyDescent="0.35"/>
    <row r="13" spans="2:2" s="9" customFormat="1" x14ac:dyDescent="0.35"/>
    <row r="14" spans="2:2" s="9" customFormat="1" x14ac:dyDescent="0.35"/>
    <row r="15" spans="2:2" s="9" customFormat="1" x14ac:dyDescent="0.35"/>
    <row r="16" spans="2:2" s="9" customFormat="1" x14ac:dyDescent="0.35"/>
    <row r="17" s="9" customFormat="1" x14ac:dyDescent="0.35"/>
    <row r="18" s="9" customFormat="1" x14ac:dyDescent="0.35"/>
    <row r="19" s="9" customFormat="1" x14ac:dyDescent="0.35"/>
    <row r="20" s="9" customFormat="1" x14ac:dyDescent="0.35"/>
    <row r="21" s="9" customFormat="1" x14ac:dyDescent="0.35"/>
    <row r="22" s="9" customFormat="1" x14ac:dyDescent="0.35"/>
    <row r="23" s="9" customFormat="1" x14ac:dyDescent="0.35"/>
    <row r="24" s="9" customFormat="1" x14ac:dyDescent="0.35"/>
    <row r="25" s="9" customFormat="1" x14ac:dyDescent="0.35"/>
    <row r="26" s="9" customFormat="1" x14ac:dyDescent="0.35"/>
    <row r="27" s="9" customFormat="1" x14ac:dyDescent="0.35"/>
    <row r="28" s="9" customFormat="1" x14ac:dyDescent="0.35"/>
    <row r="29" s="9" customFormat="1" x14ac:dyDescent="0.35"/>
    <row r="30" s="9" customForma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45D19-0F63-4F92-BB4C-F888B1A94C0C}">
  <dimension ref="A3:C7"/>
  <sheetViews>
    <sheetView zoomScale="104" workbookViewId="0">
      <selection activeCell="M9" sqref="M9"/>
    </sheetView>
  </sheetViews>
  <sheetFormatPr defaultRowHeight="14.5" x14ac:dyDescent="0.35"/>
  <cols>
    <col min="1" max="1" width="12.90625" bestFit="1" customWidth="1"/>
    <col min="2" max="2" width="20.08984375" bestFit="1" customWidth="1"/>
    <col min="3" max="3" width="15.36328125" bestFit="1" customWidth="1"/>
  </cols>
  <sheetData>
    <row r="3" spans="1:3" x14ac:dyDescent="0.35">
      <c r="A3" s="2" t="s">
        <v>9</v>
      </c>
      <c r="B3" t="s">
        <v>11</v>
      </c>
      <c r="C3" t="s">
        <v>12</v>
      </c>
    </row>
    <row r="4" spans="1:3" x14ac:dyDescent="0.35">
      <c r="A4" s="3" t="s">
        <v>15</v>
      </c>
      <c r="B4" s="5">
        <v>6800</v>
      </c>
      <c r="C4" s="5">
        <v>6400</v>
      </c>
    </row>
    <row r="5" spans="1:3" x14ac:dyDescent="0.35">
      <c r="A5" s="3" t="s">
        <v>16</v>
      </c>
      <c r="B5" s="5">
        <v>4200</v>
      </c>
      <c r="C5" s="5">
        <v>3980</v>
      </c>
    </row>
    <row r="6" spans="1:3" x14ac:dyDescent="0.35">
      <c r="A6" s="3" t="s">
        <v>14</v>
      </c>
      <c r="B6" s="5">
        <v>13000</v>
      </c>
      <c r="C6" s="5">
        <v>11650</v>
      </c>
    </row>
    <row r="7" spans="1:3" x14ac:dyDescent="0.35">
      <c r="A7" s="3" t="s">
        <v>10</v>
      </c>
      <c r="B7" s="5">
        <v>24000</v>
      </c>
      <c r="C7" s="5">
        <v>22030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9D322-54D0-4362-88A1-4FC2C9E1D848}">
  <dimension ref="A1:H15"/>
  <sheetViews>
    <sheetView topLeftCell="A10" zoomScale="41" zoomScaleNormal="100" workbookViewId="0">
      <selection activeCell="I21" sqref="I21"/>
    </sheetView>
  </sheetViews>
  <sheetFormatPr defaultRowHeight="14.5" x14ac:dyDescent="0.35"/>
  <cols>
    <col min="1" max="1" width="13.36328125" customWidth="1"/>
    <col min="2" max="2" width="15.26953125" customWidth="1"/>
    <col min="3" max="3" width="18" customWidth="1"/>
    <col min="4" max="4" width="15.6328125" customWidth="1"/>
    <col min="5" max="5" width="14.36328125" customWidth="1"/>
    <col min="6" max="6" width="12.7265625" customWidth="1"/>
    <col min="7" max="7" width="13.26953125" customWidth="1"/>
    <col min="8" max="8" width="14" customWidth="1"/>
  </cols>
  <sheetData>
    <row r="1" spans="1:8" x14ac:dyDescent="0.35">
      <c r="A1" t="s">
        <v>0</v>
      </c>
      <c r="B1" t="s">
        <v>13</v>
      </c>
      <c r="C1" t="s">
        <v>1</v>
      </c>
      <c r="D1" t="s">
        <v>2</v>
      </c>
      <c r="E1" t="s">
        <v>3</v>
      </c>
      <c r="F1" t="s">
        <v>4</v>
      </c>
      <c r="G1" t="s">
        <v>5</v>
      </c>
      <c r="H1" t="s">
        <v>17</v>
      </c>
    </row>
    <row r="2" spans="1:8" x14ac:dyDescent="0.35">
      <c r="A2" t="s">
        <v>6</v>
      </c>
      <c r="B2" t="str">
        <f>_xlfn.XLOOKUP(A2, CatalogTable[Product_ID], CatalogTable[Product_Name], "Unknown Product")</f>
        <v>TechWidget A</v>
      </c>
      <c r="C2">
        <v>10</v>
      </c>
      <c r="D2">
        <v>1000</v>
      </c>
      <c r="E2">
        <f>_xlfn.XLOOKUP(A2, CatalogTable[Product_ID], CatalogTable[Unit_Cost], 0)</f>
        <v>250</v>
      </c>
      <c r="F2">
        <f>C2*E2</f>
        <v>2500</v>
      </c>
      <c r="G2">
        <f t="shared" ref="G2:G15" si="0">D2-F2</f>
        <v>-1500</v>
      </c>
      <c r="H2" s="6">
        <f>SalesData[[#This Row],[Net_Profit]]/SalesData[[#This Row],[Gross_Revenue]]</f>
        <v>-1.5</v>
      </c>
    </row>
    <row r="3" spans="1:8" x14ac:dyDescent="0.35">
      <c r="A3" t="s">
        <v>7</v>
      </c>
      <c r="B3" t="str">
        <f>_xlfn.XLOOKUP(A3, CatalogTable[Product_ID], CatalogTable[Product_Name], "Unknown Product")</f>
        <v>EcoGadget B</v>
      </c>
      <c r="C3">
        <v>5</v>
      </c>
      <c r="D3">
        <v>500</v>
      </c>
      <c r="E3">
        <f>_xlfn.XLOOKUP(A3, CatalogTable[Product_ID], CatalogTable[Unit_Cost], 0)</f>
        <v>400</v>
      </c>
      <c r="F3">
        <f t="shared" ref="F3:F15" si="1">C3*E3</f>
        <v>2000</v>
      </c>
      <c r="G3">
        <f t="shared" si="0"/>
        <v>-1500</v>
      </c>
      <c r="H3" s="6">
        <f>SalesData[[#This Row],[Net_Profit]]/SalesData[[#This Row],[Gross_Revenue]]</f>
        <v>-3</v>
      </c>
    </row>
    <row r="4" spans="1:8" x14ac:dyDescent="0.35">
      <c r="A4" t="s">
        <v>6</v>
      </c>
      <c r="B4" t="str">
        <f>_xlfn.XLOOKUP(A4, CatalogTable[Product_ID], CatalogTable[Product_Name], "Unknown Product")</f>
        <v>TechWidget A</v>
      </c>
      <c r="C4">
        <v>20</v>
      </c>
      <c r="D4">
        <v>2000</v>
      </c>
      <c r="E4">
        <f>_xlfn.XLOOKUP(A4, CatalogTable[Product_ID], CatalogTable[Unit_Cost], 0)</f>
        <v>250</v>
      </c>
      <c r="F4">
        <f t="shared" si="1"/>
        <v>5000</v>
      </c>
      <c r="G4">
        <f t="shared" si="0"/>
        <v>-3000</v>
      </c>
      <c r="H4" s="6">
        <f>SalesData[[#This Row],[Net_Profit]]/SalesData[[#This Row],[Gross_Revenue]]</f>
        <v>-1.5</v>
      </c>
    </row>
    <row r="5" spans="1:8" x14ac:dyDescent="0.35">
      <c r="A5" t="s">
        <v>8</v>
      </c>
      <c r="B5" t="str">
        <f>_xlfn.XLOOKUP(A5, CatalogTable[Product_ID], CatalogTable[Product_Name], "Unknown Product")</f>
        <v>SmartDevice C</v>
      </c>
      <c r="C5">
        <v>2</v>
      </c>
      <c r="D5">
        <v>300</v>
      </c>
      <c r="E5">
        <f>_xlfn.XLOOKUP(A5, CatalogTable[Product_ID], CatalogTable[Unit_Cost], 0)</f>
        <v>150</v>
      </c>
      <c r="F5">
        <f t="shared" si="1"/>
        <v>300</v>
      </c>
      <c r="G5">
        <f t="shared" si="0"/>
        <v>0</v>
      </c>
      <c r="H5" s="6">
        <f>SalesData[[#This Row],[Net_Profit]]/SalesData[[#This Row],[Gross_Revenue]]</f>
        <v>0</v>
      </c>
    </row>
    <row r="6" spans="1:8" x14ac:dyDescent="0.35">
      <c r="A6" t="s">
        <v>7</v>
      </c>
      <c r="B6" t="str">
        <f>_xlfn.XLOOKUP(A6, CatalogTable[Product_ID], CatalogTable[Product_Name], "Unknown Product")</f>
        <v>EcoGadget B</v>
      </c>
      <c r="C6">
        <v>15</v>
      </c>
      <c r="D6">
        <v>1500</v>
      </c>
      <c r="E6">
        <f>_xlfn.XLOOKUP(A6, CatalogTable[Product_ID], CatalogTable[Unit_Cost], 0)</f>
        <v>400</v>
      </c>
      <c r="F6">
        <f t="shared" si="1"/>
        <v>6000</v>
      </c>
      <c r="G6">
        <f t="shared" si="0"/>
        <v>-4500</v>
      </c>
      <c r="H6" s="6">
        <f>SalesData[[#This Row],[Net_Profit]]/SalesData[[#This Row],[Gross_Revenue]]</f>
        <v>-3</v>
      </c>
    </row>
    <row r="7" spans="1:8" x14ac:dyDescent="0.35">
      <c r="A7" t="s">
        <v>8</v>
      </c>
      <c r="B7" t="str">
        <f>_xlfn.XLOOKUP(A7, CatalogTable[Product_ID], CatalogTable[Product_Name], "Unknown Product")</f>
        <v>SmartDevice C</v>
      </c>
      <c r="C7">
        <v>4</v>
      </c>
      <c r="D7">
        <v>1200</v>
      </c>
      <c r="E7">
        <f>_xlfn.XLOOKUP(A7, CatalogTable[Product_ID], CatalogTable[Unit_Cost], 0)</f>
        <v>150</v>
      </c>
      <c r="F7">
        <f t="shared" si="1"/>
        <v>600</v>
      </c>
      <c r="G7">
        <f t="shared" si="0"/>
        <v>600</v>
      </c>
      <c r="H7" s="6">
        <f>SalesData[[#This Row],[Net_Profit]]/SalesData[[#This Row],[Gross_Revenue]]</f>
        <v>0.5</v>
      </c>
    </row>
    <row r="8" spans="1:8" x14ac:dyDescent="0.35">
      <c r="A8" t="s">
        <v>6</v>
      </c>
      <c r="B8" t="str">
        <f>_xlfn.XLOOKUP(A8, CatalogTable[Product_ID], CatalogTable[Product_Name], "Unknown Product")</f>
        <v>TechWidget A</v>
      </c>
      <c r="C8">
        <v>5</v>
      </c>
      <c r="D8">
        <v>2500</v>
      </c>
      <c r="E8">
        <f>_xlfn.XLOOKUP(A8, CatalogTable[Product_ID], CatalogTable[Unit_Cost], 0)</f>
        <v>250</v>
      </c>
      <c r="F8">
        <f t="shared" si="1"/>
        <v>1250</v>
      </c>
      <c r="G8">
        <f t="shared" si="0"/>
        <v>1250</v>
      </c>
      <c r="H8" s="6">
        <f>SalesData[[#This Row],[Net_Profit]]/SalesData[[#This Row],[Gross_Revenue]]</f>
        <v>0.5</v>
      </c>
    </row>
    <row r="9" spans="1:8" x14ac:dyDescent="0.35">
      <c r="A9" t="s">
        <v>7</v>
      </c>
      <c r="B9" t="str">
        <f>_xlfn.XLOOKUP(A9, CatalogTable[Product_ID], CatalogTable[Product_Name], "Unknown Product")</f>
        <v>EcoGadget B</v>
      </c>
      <c r="C9">
        <v>2</v>
      </c>
      <c r="D9">
        <v>800</v>
      </c>
      <c r="E9">
        <f>_xlfn.XLOOKUP(A9, CatalogTable[Product_ID], CatalogTable[Unit_Cost], 0)</f>
        <v>400</v>
      </c>
      <c r="F9">
        <f t="shared" si="1"/>
        <v>800</v>
      </c>
      <c r="G9">
        <f t="shared" si="0"/>
        <v>0</v>
      </c>
      <c r="H9" s="6">
        <f>SalesData[[#This Row],[Net_Profit]]/SalesData[[#This Row],[Gross_Revenue]]</f>
        <v>0</v>
      </c>
    </row>
    <row r="10" spans="1:8" x14ac:dyDescent="0.35">
      <c r="A10" t="s">
        <v>6</v>
      </c>
      <c r="B10" t="str">
        <f>_xlfn.XLOOKUP(A10, CatalogTable[Product_ID], CatalogTable[Product_Name], "Unknown Product")</f>
        <v>TechWidget A</v>
      </c>
      <c r="C10">
        <v>7</v>
      </c>
      <c r="D10">
        <v>3500</v>
      </c>
      <c r="E10">
        <f>_xlfn.XLOOKUP(A10, CatalogTable[Product_ID], CatalogTable[Unit_Cost], 0)</f>
        <v>250</v>
      </c>
      <c r="F10">
        <f t="shared" si="1"/>
        <v>1750</v>
      </c>
      <c r="G10">
        <f t="shared" si="0"/>
        <v>1750</v>
      </c>
      <c r="H10" s="6">
        <f>SalesData[[#This Row],[Net_Profit]]/SalesData[[#This Row],[Gross_Revenue]]</f>
        <v>0.5</v>
      </c>
    </row>
    <row r="11" spans="1:8" x14ac:dyDescent="0.35">
      <c r="A11" t="s">
        <v>8</v>
      </c>
      <c r="B11" t="str">
        <f>_xlfn.XLOOKUP(A11, CatalogTable[Product_ID], CatalogTable[Product_Name], "Unknown Product")</f>
        <v>SmartDevice C</v>
      </c>
      <c r="C11">
        <v>6</v>
      </c>
      <c r="D11">
        <v>1800</v>
      </c>
      <c r="E11">
        <f>_xlfn.XLOOKUP(A11, CatalogTable[Product_ID], CatalogTable[Unit_Cost], 0)</f>
        <v>150</v>
      </c>
      <c r="F11">
        <f t="shared" si="1"/>
        <v>900</v>
      </c>
      <c r="G11">
        <f t="shared" si="0"/>
        <v>900</v>
      </c>
      <c r="H11" s="6">
        <f>SalesData[[#This Row],[Net_Profit]]/SalesData[[#This Row],[Gross_Revenue]]</f>
        <v>0.5</v>
      </c>
    </row>
    <row r="12" spans="1:8" x14ac:dyDescent="0.35">
      <c r="A12" t="s">
        <v>7</v>
      </c>
      <c r="B12" t="str">
        <f>_xlfn.XLOOKUP(A12, CatalogTable[Product_ID], CatalogTable[Product_Name], "Unknown Product")</f>
        <v>EcoGadget B</v>
      </c>
      <c r="C12">
        <v>4</v>
      </c>
      <c r="D12">
        <v>1600</v>
      </c>
      <c r="E12">
        <f>_xlfn.XLOOKUP(A12, CatalogTable[Product_ID], CatalogTable[Unit_Cost], 0)</f>
        <v>400</v>
      </c>
      <c r="F12">
        <f t="shared" si="1"/>
        <v>1600</v>
      </c>
      <c r="G12">
        <f t="shared" si="0"/>
        <v>0</v>
      </c>
      <c r="H12" s="6">
        <f>SalesData[[#This Row],[Net_Profit]]/SalesData[[#This Row],[Gross_Revenue]]</f>
        <v>0</v>
      </c>
    </row>
    <row r="13" spans="1:8" x14ac:dyDescent="0.35">
      <c r="A13" t="s">
        <v>6</v>
      </c>
      <c r="B13" t="str">
        <f>_xlfn.XLOOKUP(A13, CatalogTable[Product_ID], CatalogTable[Product_Name], "Unknown Product")</f>
        <v>TechWidget A</v>
      </c>
      <c r="C13">
        <v>8</v>
      </c>
      <c r="D13">
        <v>4000</v>
      </c>
      <c r="E13">
        <f>_xlfn.XLOOKUP(A13, CatalogTable[Product_ID], CatalogTable[Unit_Cost], 0)</f>
        <v>250</v>
      </c>
      <c r="F13">
        <f t="shared" si="1"/>
        <v>2000</v>
      </c>
      <c r="G13">
        <f t="shared" si="0"/>
        <v>2000</v>
      </c>
      <c r="H13" s="6">
        <f>SalesData[[#This Row],[Net_Profit]]/SalesData[[#This Row],[Gross_Revenue]]</f>
        <v>0.5</v>
      </c>
    </row>
    <row r="14" spans="1:8" x14ac:dyDescent="0.35">
      <c r="A14" t="s">
        <v>8</v>
      </c>
      <c r="B14" t="str">
        <f>_xlfn.XLOOKUP(A14, CatalogTable[Product_ID], CatalogTable[Product_Name], "Unknown Product")</f>
        <v>SmartDevice C</v>
      </c>
      <c r="C14">
        <v>3</v>
      </c>
      <c r="D14">
        <v>900</v>
      </c>
      <c r="E14">
        <f>_xlfn.XLOOKUP(A14, CatalogTable[Product_ID], CatalogTable[Unit_Cost], 0)</f>
        <v>150</v>
      </c>
      <c r="F14">
        <f t="shared" si="1"/>
        <v>450</v>
      </c>
      <c r="G14">
        <f t="shared" si="0"/>
        <v>450</v>
      </c>
      <c r="H14" s="6">
        <f>SalesData[[#This Row],[Net_Profit]]/SalesData[[#This Row],[Gross_Revenue]]</f>
        <v>0.5</v>
      </c>
    </row>
    <row r="15" spans="1:8" x14ac:dyDescent="0.35">
      <c r="A15" t="s">
        <v>7</v>
      </c>
      <c r="B15" t="str">
        <f>_xlfn.XLOOKUP(A15, CatalogTable[Product_ID], CatalogTable[Product_Name], "Unknown Product")</f>
        <v>EcoGadget B</v>
      </c>
      <c r="C15">
        <v>6</v>
      </c>
      <c r="D15">
        <v>2400</v>
      </c>
      <c r="E15">
        <f>_xlfn.XLOOKUP(A15, CatalogTable[Product_ID], CatalogTable[Unit_Cost], 0)</f>
        <v>400</v>
      </c>
      <c r="F15">
        <f t="shared" si="1"/>
        <v>2400</v>
      </c>
      <c r="G15">
        <f t="shared" si="0"/>
        <v>0</v>
      </c>
      <c r="H15" s="6">
        <f>SalesData[[#This Row],[Net_Profit]]/SalesData[[#This Row],[Gross_Revenue]]</f>
        <v>0</v>
      </c>
    </row>
  </sheetData>
  <conditionalFormatting sqref="H2:H15">
    <cfRule type="cellIs" dxfId="2" priority="1" operator="greaterThan">
      <formula>-1.25</formula>
    </cfRule>
    <cfRule type="cellIs" dxfId="1" priority="2" operator="greaterThan">
      <formula>0.5</formula>
    </cfRule>
    <cfRule type="cellIs" dxfId="0" priority="3" operator="greaterThan">
      <formula>0.5</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61F8-6870-483A-8F44-735F0A61C120}">
  <dimension ref="A1:C5"/>
  <sheetViews>
    <sheetView workbookViewId="0">
      <selection activeCell="E6" sqref="E6"/>
    </sheetView>
  </sheetViews>
  <sheetFormatPr defaultRowHeight="14.5" x14ac:dyDescent="0.35"/>
  <cols>
    <col min="1" max="1" width="12.54296875" customWidth="1"/>
    <col min="2" max="2" width="16.6328125" customWidth="1"/>
  </cols>
  <sheetData>
    <row r="1" spans="1:3" ht="29.5" thickBot="1" x14ac:dyDescent="0.4">
      <c r="A1" s="15" t="s">
        <v>0</v>
      </c>
      <c r="B1" s="16" t="s">
        <v>13</v>
      </c>
      <c r="C1" s="17" t="s">
        <v>3</v>
      </c>
    </row>
    <row r="2" spans="1:3" ht="15" thickBot="1" x14ac:dyDescent="0.4">
      <c r="A2" s="10" t="s">
        <v>6</v>
      </c>
      <c r="B2" s="11" t="s">
        <v>14</v>
      </c>
      <c r="C2" s="12">
        <v>250</v>
      </c>
    </row>
    <row r="3" spans="1:3" ht="15" thickBot="1" x14ac:dyDescent="0.4">
      <c r="A3" s="10" t="s">
        <v>7</v>
      </c>
      <c r="B3" s="11" t="s">
        <v>15</v>
      </c>
      <c r="C3" s="12">
        <v>400</v>
      </c>
    </row>
    <row r="4" spans="1:3" ht="15" thickBot="1" x14ac:dyDescent="0.4">
      <c r="A4" s="13" t="s">
        <v>8</v>
      </c>
      <c r="B4" s="14" t="s">
        <v>16</v>
      </c>
      <c r="C4" s="12">
        <v>150</v>
      </c>
    </row>
    <row r="5" spans="1:3" ht="15" thickBot="1" x14ac:dyDescent="0.4">
      <c r="A5" s="1"/>
      <c r="C5"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Pivot_Engine</vt:lpstr>
      <vt:lpstr>Sheet1</vt:lpstr>
      <vt:lpstr>Product_Catalog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Oyaghiri Bright</dc:creator>
  <cp:lastModifiedBy>Oyaghiri Bright</cp:lastModifiedBy>
  <dcterms:created xsi:type="dcterms:W3CDTF">2026-06-16T21:58:26Z</dcterms:created>
  <dcterms:modified xsi:type="dcterms:W3CDTF">2026-06-17T00:26:28Z</dcterms:modified>
</cp:coreProperties>
</file>